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unk 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0.0"/>
    <numFmt numFmtId="167" formatCode="$#,##0.000"/>
    <numFmt numFmtId="168" formatCode="#,##0.0"/>
    <numFmt numFmtId="169" formatCode="$#,##0"/>
    <numFmt numFmtId="170" formatCode="$#,##0.0000"/>
  </numFmts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2" fontId="0" fillId="0" borderId="0" pivotButton="0" quotePrefix="0" xfId="0"/>
    <xf numFmtId="169" fontId="0" fillId="0" borderId="0" pivotButton="0" quotePrefix="0" xfId="0"/>
    <xf numFmtId="10" fontId="0" fillId="0" borderId="0" pivotButton="0" quotePrefix="0" xfId="0"/>
    <xf numFmtId="169" fontId="1" fillId="0" borderId="0" pivotButton="0" quotePrefix="0" xfId="0"/>
    <xf numFmtId="10" fontId="1" fillId="0" borderId="0" pivotButton="0" quotePrefix="0" xfId="0"/>
    <xf numFmtId="170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4" fontId="1" fillId="0" borderId="0" pivotButton="0" quotePrefix="0" xfId="0"/>
    <xf numFmtId="3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166" fontId="2" fillId="3" borderId="0" pivotButton="0" quotePrefix="0" xfId="0"/>
    <xf numFmtId="3" fontId="2" fillId="3" borderId="0" pivotButton="0" quotePrefix="0" xfId="0"/>
    <xf numFmtId="2" fontId="2" fillId="3" borderId="0" pivotButton="0" quotePrefix="0" xfId="0"/>
    <xf numFmtId="167" fontId="2" fillId="0" borderId="0" pivotButton="0" quotePrefix="0" xfId="0"/>
    <xf numFmtId="168" fontId="2" fillId="3" borderId="0" pivotButton="0" quotePrefix="0" xfId="0"/>
    <xf numFmtId="169" fontId="2" fillId="0" borderId="0" pivotButton="0" quotePrefix="0" xfId="0"/>
    <xf numFmtId="4" fontId="2" fillId="0" borderId="0" pivotButton="0" quotePrefix="0" xfId="0"/>
    <xf numFmtId="0" fontId="2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6" customWidth="1" min="4" max="4"/>
    <col width="16" customWidth="1" min="5" max="5"/>
    <col width="120" customWidth="1" min="6" max="6"/>
  </cols>
  <sheetData>
    <row r="1">
      <c r="A1" s="1" t="inlineStr">
        <is>
          <t>Line</t>
        </is>
      </c>
      <c r="B1" s="1" t="inlineStr">
        <is>
          <t>2028 target</t>
        </is>
      </c>
      <c r="C1" s="1" t="inlineStr">
        <is>
          <t>2032 target</t>
        </is>
      </c>
      <c r="D1" s="1" t="inlineStr">
        <is>
          <t>% of revenue 2028</t>
        </is>
      </c>
      <c r="E1" s="1" t="inlineStr">
        <is>
          <t>% of revenue 2032</t>
        </is>
      </c>
      <c r="F1" s="1" t="inlineStr">
        <is>
          <t>How the number is derived</t>
        </is>
      </c>
    </row>
    <row r="3">
      <c r="A3" s="2" t="inlineStr">
        <is>
          <t>Volume</t>
        </is>
      </c>
    </row>
    <row r="4">
      <c r="A4" t="inlineStr">
        <is>
          <t>Visits per day</t>
        </is>
      </c>
      <c r="B4" s="3">
        <f>Assumptions!$B$3*Assumptions!$B$5</f>
        <v/>
      </c>
      <c r="C4" s="3">
        <f>Assumptions!$B$3*Assumptions!$B$4</f>
        <v/>
      </c>
      <c r="F4" t="inlineStr">
        <is>
          <t>2032: 579,000 (operator: Psychology Today traffic, Semrush via Perplexity). 2028: 12% of 2032 (operator).</t>
        </is>
      </c>
    </row>
    <row r="5">
      <c r="A5" t="inlineStr">
        <is>
          <t>Visits per year</t>
        </is>
      </c>
      <c r="B5" s="3">
        <f>B4*Assumptions!$B$15</f>
        <v/>
      </c>
      <c r="C5" s="3">
        <f>C4*Assumptions!$B$15</f>
        <v/>
      </c>
      <c r="F5" t="inlineStr">
        <is>
          <t>Visits per day x 365</t>
        </is>
      </c>
    </row>
    <row r="6">
      <c r="A6" s="2" t="inlineStr">
        <is>
          <t>Paying customers</t>
        </is>
      </c>
      <c r="B6" s="4">
        <f>B4/Assumptions!$B$7</f>
        <v/>
      </c>
      <c r="C6" s="4">
        <f>C4/Assumptions!$B$7</f>
        <v/>
      </c>
      <c r="F6" t="inlineStr">
        <is>
          <t>Visits per day / 3% (operator: 3% of paying customers visit each day)</t>
        </is>
      </c>
    </row>
    <row r="7">
      <c r="A7" t="inlineStr">
        <is>
          <t>Visits per paying customer per year</t>
        </is>
      </c>
      <c r="B7" s="5">
        <f>Assumptions!$B$7*Assumptions!$B$15</f>
        <v/>
      </c>
      <c r="C7" s="5">
        <f>Assumptions!$B$7*Assumptions!$B$15</f>
        <v/>
      </c>
      <c r="F7" t="inlineStr">
        <is>
          <t>3% x 365 days</t>
        </is>
      </c>
    </row>
    <row r="8">
      <c r="A8" t="inlineStr">
        <is>
          <t>Average concurrent sessions</t>
        </is>
      </c>
      <c r="B8" s="3">
        <f>B4*Assumptions!$B$14/86400</f>
        <v/>
      </c>
      <c r="C8" s="3">
        <f>C4*Assumptions!$B$14/86400</f>
        <v/>
      </c>
      <c r="F8" t="inlineStr">
        <is>
          <t>Visits per day x 649 s (10 min 49 s, operator) / 86,400 s per day</t>
        </is>
      </c>
    </row>
    <row r="9">
      <c r="A9" t="inlineStr">
        <is>
          <t>Peak concurrent sessions</t>
        </is>
      </c>
      <c r="B9" s="3">
        <f>B8*Assumptions!$B$33</f>
        <v/>
      </c>
      <c r="C9" s="3">
        <f>C8*Assumptions!$B$33</f>
        <v/>
      </c>
      <c r="F9" t="inlineStr">
        <is>
          <t>Average x 3 peak factor (my assumption)</t>
        </is>
      </c>
    </row>
    <row r="11">
      <c r="A11" s="2" t="inlineStr">
        <is>
          <t>Revenue</t>
        </is>
      </c>
    </row>
    <row r="12">
      <c r="A12" t="inlineStr">
        <is>
          <t>Annual plan</t>
        </is>
      </c>
      <c r="B12" s="6">
        <f>C12*Assumptions!$B$6</f>
        <v/>
      </c>
      <c r="C12" s="6">
        <f>C6*Assumptions!$B$8*Assumptions!$B$9</f>
        <v/>
      </c>
      <c r="D12" s="7">
        <f>IF(B15=0,0,B12/B15)</f>
        <v/>
      </c>
      <c r="E12" s="7">
        <f>IF(C15=0,0,C12/C15)</f>
        <v/>
      </c>
      <c r="F12" t="inlineStr">
        <is>
          <t>2032: Paying customers x 30% x $60 per year (operator). 2028: 5% of the 2032 figure (operator)</t>
        </is>
      </c>
    </row>
    <row r="13">
      <c r="A13" t="inlineStr">
        <is>
          <t>Monthly plan</t>
        </is>
      </c>
      <c r="B13" s="6">
        <f>C13*Assumptions!$B$6</f>
        <v/>
      </c>
      <c r="C13" s="6">
        <f>C6*Assumptions!$B$10*Assumptions!$B$11*12</f>
        <v/>
      </c>
      <c r="D13" s="7">
        <f>IF(B15=0,0,B13/B15)</f>
        <v/>
      </c>
      <c r="E13" s="7">
        <f>IF(C15=0,0,C13/C15)</f>
        <v/>
      </c>
      <c r="F13" t="inlineStr">
        <is>
          <t>2032: Paying customers x 10% x $10 per month x 12 (operator; assumes a full year). 2028: 5% of the 2032 figure (operator)</t>
        </is>
      </c>
    </row>
    <row r="14">
      <c r="A14" t="inlineStr">
        <is>
          <t>Single Use</t>
        </is>
      </c>
      <c r="B14" s="6">
        <f>C14*Assumptions!$B$6</f>
        <v/>
      </c>
      <c r="C14" s="6">
        <f>C6*Assumptions!$B$12*Assumptions!$B$13*C7</f>
        <v/>
      </c>
      <c r="D14" s="7">
        <f>IF(B15=0,0,B14/B15)</f>
        <v/>
      </c>
      <c r="E14" s="7">
        <f>IF(C15=0,0,C14/C15)</f>
        <v/>
      </c>
      <c r="F14" t="inlineStr">
        <is>
          <t>2032: Paying customers x 60% x $2 per visit x 10.95 visits per year. 2028: 5% of the 2032 figure (operator)</t>
        </is>
      </c>
    </row>
    <row r="15">
      <c r="A15" s="2" t="inlineStr">
        <is>
          <t>Anticipated revenue per year</t>
        </is>
      </c>
      <c r="B15" s="8">
        <f>B12+B13+B14</f>
        <v/>
      </c>
      <c r="C15" s="8">
        <f>C12+C13+C14</f>
        <v/>
      </c>
      <c r="D15" s="9">
        <f>IF(B15=0,0,B15/B15)</f>
        <v/>
      </c>
      <c r="E15" s="9">
        <f>IF(C15=0,0,C15/C15)</f>
        <v/>
      </c>
      <c r="F15" t="inlineStr">
        <is>
          <t>Sum of the three plans</t>
        </is>
      </c>
    </row>
    <row r="17">
      <c r="A17" s="2" t="inlineStr">
        <is>
          <t>AI</t>
        </is>
      </c>
    </row>
    <row r="18">
      <c r="A18" t="inlineStr">
        <is>
          <t>Gemini 2.5 Flash classifier cost per visit</t>
        </is>
      </c>
      <c r="B18" s="10">
        <f>Assumptions!$B$20*((Assumptions!$B$21/Assumptions!$B$22+Assumptions!$B$23)*Assumptions!$B$25+Assumptions!$B$24*Assumptions!$B$26)/1000000*Assumptions!$B$18*Assumptions!$B$19</f>
        <v/>
      </c>
      <c r="C18" s="10">
        <f>Assumptions!$B$20*((Assumptions!$B$21/Assumptions!$B$22+Assumptions!$B$23)*Assumptions!$B$25+Assumptions!$B$24*Assumptions!$B$26)/1000000*Assumptions!$B$18*Assumptions!$B$19</f>
        <v/>
      </c>
      <c r="F18" t="inlineStr">
        <is>
          <t>4 calls (mine) x [(51,822 prompt chars measured / 4 + 500) input tokens x $0.30/M + 1,500 output tokens x $2.50/M] x 3 usage x 3 cost (operator)</t>
        </is>
      </c>
    </row>
    <row r="19">
      <c r="A19" t="inlineStr">
        <is>
          <t>Claude Opus 5 cost per visit</t>
        </is>
      </c>
      <c r="B19" s="10">
        <f>Assumptions!$B$27*(Assumptions!$B$28*Assumptions!$B$30+Assumptions!$B$29*Assumptions!$B$31)/1000000*Assumptions!$B$18*Assumptions!$B$19</f>
        <v/>
      </c>
      <c r="C19" s="10">
        <f>Assumptions!$B$27*(Assumptions!$B$28*Assumptions!$B$30+Assumptions!$B$29*Assumptions!$B$31)/1000000*Assumptions!$B$18*Assumptions!$B$19</f>
        <v/>
      </c>
      <c r="F19" t="inlineStr">
        <is>
          <t>0.10 calls (mine) x (4,000 input tokens x $5/M + 250 output tokens x $25/M) x 3 x 3</t>
        </is>
      </c>
    </row>
    <row r="20">
      <c r="A20" t="inlineStr">
        <is>
          <t>Cost of all AI (recurring)</t>
        </is>
      </c>
      <c r="B20" s="6">
        <f>(B18+B19)*B5</f>
        <v/>
      </c>
      <c r="C20" s="6">
        <f>(C18+C19)*C5</f>
        <v/>
      </c>
      <c r="D20" s="7">
        <f>IF(B15=0,0,B20/B15)</f>
        <v/>
      </c>
      <c r="E20" s="7">
        <f>IF(C15=0,0,C20/C15)</f>
        <v/>
      </c>
      <c r="F20" t="inlineStr">
        <is>
          <t>Cost per visit x visits per year</t>
        </is>
      </c>
    </row>
    <row r="22">
      <c r="A22" s="2" t="inlineStr">
        <is>
          <t>Hosting on Azure VMs</t>
        </is>
      </c>
    </row>
    <row r="23">
      <c r="A23" t="inlineStr">
        <is>
          <t>App VMs (count)</t>
        </is>
      </c>
      <c r="B23" s="3">
        <f>ROUNDUP(B9/Assumptions!$B$34,0)</f>
        <v/>
      </c>
      <c r="C23" s="3">
        <f>ROUNDUP(C9/Assumptions!$B$34,0)</f>
        <v/>
      </c>
      <c r="F23" t="inlineStr">
        <is>
          <t>Peak sessions / 250 sessions per VM (mine), rounded up</t>
        </is>
      </c>
    </row>
    <row r="24">
      <c r="A24" t="inlineStr">
        <is>
          <t>Compute</t>
        </is>
      </c>
      <c r="B24" s="6">
        <f>(B23*Assumptions!$B$35+Assumptions!$B$36*Assumptions!$B$37)*Assumptions!$B$16*12</f>
        <v/>
      </c>
      <c r="C24" s="6">
        <f>(C23*Assumptions!$B$35+Assumptions!$B$36*Assumptions!$B$37)*Assumptions!$B$16*12</f>
        <v/>
      </c>
      <c r="D24" s="7">
        <f>IF(B15=0,0,B24/B15)</f>
        <v/>
      </c>
      <c r="E24" s="7">
        <f>IF(C15=0,0,C24/C15)</f>
        <v/>
      </c>
      <c r="F24" t="inlineStr">
        <is>
          <t>(App VMs x $0.192/h D4s v5 + 6 DB VMs (mine) x $0.384/h D8s v5) x 730 h x 12; Azure list prices</t>
        </is>
      </c>
    </row>
    <row r="25">
      <c r="A25" t="inlineStr">
        <is>
          <t>Data on disk (TiB, all copies)</t>
        </is>
      </c>
      <c r="B25" s="11">
        <f>B4*Assumptions!$B$15/12*Assumptions!$B$40*Assumptions!$B$39*Assumptions!$B$41/1024/1024/1024</f>
        <v/>
      </c>
      <c r="C25" s="11">
        <f>C4*Assumptions!$B$15/12*Assumptions!$B$40*Assumptions!$B$39*Assumptions!$B$41/1024/1024/1024</f>
        <v/>
      </c>
      <c r="F25" t="inlineStr">
        <is>
          <t>Visits over 12 months retained x 70 KB per visit x 3 copies (all mine)</t>
        </is>
      </c>
    </row>
    <row r="26">
      <c r="A26" t="inlineStr">
        <is>
          <t>Storage</t>
        </is>
      </c>
      <c r="B26" s="6">
        <f>(ROUNDUP(B25,0)*Assumptions!$B$42+(B23+Assumptions!$B$36)*Assumptions!$B$38)*12</f>
        <v/>
      </c>
      <c r="C26" s="6">
        <f>(ROUNDUP(C25,0)*Assumptions!$B$42+(C23+Assumptions!$B$36)*Assumptions!$B$38)*12</f>
        <v/>
      </c>
      <c r="D26" s="7">
        <f>IF(B15=0,0,B26/B15)</f>
        <v/>
      </c>
      <c r="E26" s="7">
        <f>IF(C15=0,0,C26/C15)</f>
        <v/>
      </c>
      <c r="F26" t="inlineStr">
        <is>
          <t>(TiB rounded up x $135.17/month P30 disk + every VM x $19.71/month P10 OS disk) x 12; Azure list prices</t>
        </is>
      </c>
    </row>
    <row r="27">
      <c r="A27" t="inlineStr">
        <is>
          <t>Network egress</t>
        </is>
      </c>
      <c r="B27" s="6">
        <f>B5*Assumptions!$B$43/1024*Assumptions!$B$44</f>
        <v/>
      </c>
      <c r="C27" s="6">
        <f>C5*Assumptions!$B$43/1024*Assumptions!$B$44</f>
        <v/>
      </c>
      <c r="D27" s="7">
        <f>IF(B15=0,0,B27/B15)</f>
        <v/>
      </c>
      <c r="E27" s="7">
        <f>IF(C15=0,0,C27/C15)</f>
        <v/>
      </c>
      <c r="F27" t="inlineStr">
        <is>
          <t>Visits per year x 3 MB per visit (mine) x $0.065 per GB (Azure tiers $0.08 to $0.04)</t>
        </is>
      </c>
    </row>
    <row r="28">
      <c r="A28" t="inlineStr">
        <is>
          <t>Data pipelines (6)</t>
        </is>
      </c>
      <c r="B28" s="6">
        <f>Assumptions!$B$46*12</f>
        <v/>
      </c>
      <c r="C28" s="6">
        <f>Assumptions!$B$46*12</f>
        <v/>
      </c>
      <c r="D28" s="7">
        <f>IF(B15=0,0,B28/B15)</f>
        <v/>
      </c>
      <c r="E28" s="7">
        <f>IF(C15=0,0,C28/C15)</f>
        <v/>
      </c>
      <c r="F28" t="inlineStr">
        <is>
          <t>$50 per month for all 6 (operator) x 12</t>
        </is>
      </c>
    </row>
    <row r="29">
      <c r="A29" t="inlineStr">
        <is>
          <t>Cost of all hosting (recurring)</t>
        </is>
      </c>
      <c r="B29" s="6">
        <f>B24+B26+B27+B28</f>
        <v/>
      </c>
      <c r="C29" s="6">
        <f>C24+C26+C27+C28</f>
        <v/>
      </c>
      <c r="D29" s="7">
        <f>IF(B15=0,0,B29/B15)</f>
        <v/>
      </c>
      <c r="E29" s="7">
        <f>IF(C15=0,0,C29/C15)</f>
        <v/>
      </c>
      <c r="F29" t="inlineStr">
        <is>
          <t>Compute + storage + egress + pipelines</t>
        </is>
      </c>
    </row>
    <row r="31">
      <c r="A31" s="2" t="inlineStr">
        <is>
          <t>One-time sunk costs (counted once, in 2028)</t>
        </is>
      </c>
    </row>
    <row r="32">
      <c r="A32" t="inlineStr">
        <is>
          <t>Sunk: AI vendors</t>
        </is>
      </c>
      <c r="B32" s="6">
        <f>SUMIF('Sunk Costs'!$C$3:$C$18,"AI",'Sunk Costs'!$B$3:$B$18)</f>
        <v/>
      </c>
      <c r="C32" s="6" t="n">
        <v>0</v>
      </c>
      <c r="D32" s="7">
        <f>IF(B15=0,0,B32/B15)</f>
        <v/>
      </c>
      <c r="E32" s="7">
        <f>IF(C15=0,0,C32/C15)</f>
        <v/>
      </c>
      <c r="F32" t="inlineStr">
        <is>
          <t>Sunk Costs sheet, Bucket = AI</t>
        </is>
      </c>
    </row>
    <row r="33">
      <c r="A33" t="inlineStr">
        <is>
          <t>Sunk: hosting vendors</t>
        </is>
      </c>
      <c r="B33" s="6">
        <f>SUMIF('Sunk Costs'!$C$3:$C$18,"Hosting",'Sunk Costs'!$B$3:$B$18)</f>
        <v/>
      </c>
      <c r="C33" s="6" t="n">
        <v>0</v>
      </c>
      <c r="D33" s="7">
        <f>IF(B15=0,0,B33/B15)</f>
        <v/>
      </c>
      <c r="E33" s="7">
        <f>IF(C15=0,0,C33/C15)</f>
        <v/>
      </c>
      <c r="F33" t="inlineStr">
        <is>
          <t>Sunk Costs sheet, Bucket = Hosting</t>
        </is>
      </c>
    </row>
    <row r="34">
      <c r="A34" t="inlineStr">
        <is>
          <t>Sunk: labor (deferred salary + equipment)</t>
        </is>
      </c>
      <c r="B34" s="6">
        <f>SUMIF('Sunk Costs'!$C$3:$C$18,"Labor",'Sunk Costs'!$B$3:$B$18)</f>
        <v/>
      </c>
      <c r="C34" s="6" t="n">
        <v>0</v>
      </c>
      <c r="D34" s="7">
        <f>IF(B15=0,0,B34/B15)</f>
        <v/>
      </c>
      <c r="E34" s="7">
        <f>IF(C15=0,0,C34/C15)</f>
        <v/>
      </c>
      <c r="F34" t="inlineStr">
        <is>
          <t>Sunk Costs sheet, Bucket = Labor</t>
        </is>
      </c>
    </row>
    <row r="36">
      <c r="A36" s="2" t="inlineStr">
        <is>
          <t>Business case (three buckets)</t>
        </is>
      </c>
    </row>
    <row r="37">
      <c r="A37" s="2" t="inlineStr">
        <is>
          <t>AI</t>
        </is>
      </c>
      <c r="B37" s="8">
        <f>B20+B32</f>
        <v/>
      </c>
      <c r="C37" s="8">
        <f>C20+C32</f>
        <v/>
      </c>
      <c r="D37" s="9">
        <f>IF(B15=0,0,B37/B15)</f>
        <v/>
      </c>
      <c r="E37" s="9">
        <f>IF(C15=0,0,C37/C15)</f>
        <v/>
      </c>
      <c r="F37" t="inlineStr">
        <is>
          <t>Cost of all AI + AI sunk costs (2028 only)</t>
        </is>
      </c>
    </row>
    <row r="38">
      <c r="A38" s="2" t="inlineStr">
        <is>
          <t>Hosting</t>
        </is>
      </c>
      <c r="B38" s="8">
        <f>B29+B33</f>
        <v/>
      </c>
      <c r="C38" s="8">
        <f>C29+C33</f>
        <v/>
      </c>
      <c r="D38" s="9">
        <f>IF(B15=0,0,B38/B15)</f>
        <v/>
      </c>
      <c r="E38" s="9">
        <f>IF(C15=0,0,C38/C15)</f>
        <v/>
      </c>
      <c r="F38" t="inlineStr">
        <is>
          <t>Cost of all hosting + hosting sunk costs (2028 only)</t>
        </is>
      </c>
    </row>
    <row r="39">
      <c r="A39" s="2" t="inlineStr">
        <is>
          <t>Labor</t>
        </is>
      </c>
      <c r="B39" s="8">
        <f>Assumptions!$B$47*12*(1+Assumptions!$B$48)^0+B34</f>
        <v/>
      </c>
      <c r="C39" s="8">
        <f>Assumptions!$B$47*12*(1+Assumptions!$B$48)^4+C34</f>
        <v/>
      </c>
      <c r="D39" s="9">
        <f>IF(B15=0,0,B39/B15)</f>
        <v/>
      </c>
      <c r="E39" s="9">
        <f>IF(C15=0,0,C39/C15)</f>
        <v/>
      </c>
      <c r="F39" t="inlineStr">
        <is>
          <t>$80,000 per month x 12 in 2028, grown 15% a year compounded (2032 = x 1.15^4) (operator) + labor sunk costs (2028 only)</t>
        </is>
      </c>
    </row>
    <row r="40">
      <c r="A40" s="2" t="inlineStr">
        <is>
          <t>Total of all costs</t>
        </is>
      </c>
      <c r="B40" s="8">
        <f>B37+B38+B39</f>
        <v/>
      </c>
      <c r="C40" s="8">
        <f>C37+C38+C39</f>
        <v/>
      </c>
      <c r="D40" s="9">
        <f>IF(B15=0,0,B40/B15)</f>
        <v/>
      </c>
      <c r="E40" s="9">
        <f>IF(C15=0,0,C40/C15)</f>
        <v/>
      </c>
      <c r="F40" t="inlineStr">
        <is>
          <t>AI + Hosting + Labor</t>
        </is>
      </c>
    </row>
    <row r="41">
      <c r="A41" s="2" t="inlineStr">
        <is>
          <t>Operating profit</t>
        </is>
      </c>
      <c r="B41" s="8">
        <f>B15-B40</f>
        <v/>
      </c>
      <c r="C41" s="8">
        <f>C15-C40</f>
        <v/>
      </c>
      <c r="D41" s="9">
        <f>IF(B15=0,0,B41/B15)</f>
        <v/>
      </c>
      <c r="E41" s="9">
        <f>IF(C15=0,0,C41/C15)</f>
        <v/>
      </c>
      <c r="F41" t="inlineStr">
        <is>
          <t>Revenue - total of all costs</t>
        </is>
      </c>
    </row>
    <row r="43">
      <c r="A43" s="2" t="inlineStr">
        <is>
          <t>Per paying customer, per year</t>
        </is>
      </c>
    </row>
    <row r="44">
      <c r="A44" t="inlineStr">
        <is>
          <t>Revenue per paying customer</t>
        </is>
      </c>
      <c r="B44" s="12">
        <f>B15/B6</f>
        <v/>
      </c>
      <c r="C44" s="12">
        <f>C15/C6</f>
        <v/>
      </c>
      <c r="F44" t="inlineStr">
        <is>
          <t>Revenue / paying customers</t>
        </is>
      </c>
    </row>
    <row r="45">
      <c r="A45" s="2" t="inlineStr">
        <is>
          <t>Cost per paying customer</t>
        </is>
      </c>
      <c r="B45" s="13">
        <f>B40/B6</f>
        <v/>
      </c>
      <c r="C45" s="13">
        <f>C40/C6</f>
        <v/>
      </c>
      <c r="F45" t="inlineStr">
        <is>
          <t>Total of all costs / paying customers</t>
        </is>
      </c>
    </row>
    <row r="46">
      <c r="A46" s="2" t="inlineStr">
        <is>
          <t>Margin per paying customer</t>
        </is>
      </c>
      <c r="B46" s="13">
        <f>B41/B6</f>
        <v/>
      </c>
      <c r="C46" s="13">
        <f>C41/C6</f>
        <v/>
      </c>
      <c r="F46" t="inlineStr">
        <is>
          <t>Operating profit / paying customers</t>
        </is>
      </c>
    </row>
    <row r="47">
      <c r="A47" s="2" t="inlineStr">
        <is>
          <t>Operating Margins (Non-GAAP)</t>
        </is>
      </c>
      <c r="B47" s="14">
        <f>IF(B15=0,0,B41/B15)</f>
        <v/>
      </c>
      <c r="C47" s="14">
        <f>IF(C15=0,0,C41/C15)</f>
        <v/>
      </c>
      <c r="F47" t="inlineStr">
        <is>
          <t>Operating profit / revenue</t>
        </is>
      </c>
    </row>
    <row r="49">
      <c r="A49" t="inlineStr">
        <is>
          <t>Non-GAAP: not prepared under GAAP. Excludes payment processing fees and taxes. 2032 target is the operator's assumption set; 2028 is 12% of 2032 traffic. Labor is $80,000 per month in 2028, growing 15% a year compounded.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22" customWidth="1" min="3" max="3"/>
    <col width="95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Traffic and revenue</t>
        </is>
      </c>
    </row>
    <row r="3">
      <c r="A3" t="inlineStr">
        <is>
          <t>Visits per day at the 2032 target</t>
        </is>
      </c>
      <c r="B3" s="15" t="n">
        <v>579000</v>
      </c>
      <c r="C3" t="inlineStr">
        <is>
          <t>visits</t>
        </is>
      </c>
      <c r="D3" t="inlineStr">
        <is>
          <t>Operator (Psychology Today, Semrush via Perplexity)</t>
        </is>
      </c>
    </row>
    <row r="4">
      <c r="A4" t="inlineStr">
        <is>
          <t>2032 target: share of the 579,000 visits per day</t>
        </is>
      </c>
      <c r="B4" s="16" t="n">
        <v>1</v>
      </c>
      <c r="C4" t="inlineStr"/>
      <c r="D4" t="inlineStr">
        <is>
          <t>Operator</t>
        </is>
      </c>
    </row>
    <row r="5">
      <c r="A5" t="inlineStr">
        <is>
          <t>2028 target: share of the 579,000 visits per day (drives 2028 costs)</t>
        </is>
      </c>
      <c r="B5" s="16" t="n">
        <v>0.12</v>
      </c>
      <c r="C5" t="inlineStr"/>
      <c r="D5" t="inlineStr">
        <is>
          <t>Operator</t>
        </is>
      </c>
    </row>
    <row r="6">
      <c r="A6" t="inlineStr">
        <is>
          <t>2028 target: share of 2032 revenue</t>
        </is>
      </c>
      <c r="B6" s="16" t="n">
        <v>0.05</v>
      </c>
      <c r="C6" t="inlineStr"/>
      <c r="D6" t="inlineStr">
        <is>
          <t>Operator</t>
        </is>
      </c>
    </row>
    <row r="7">
      <c r="A7" t="inlineStr">
        <is>
          <t>Share of customers who visit per day</t>
        </is>
      </c>
      <c r="B7" s="17" t="n">
        <v>0.03</v>
      </c>
      <c r="C7" t="inlineStr"/>
      <c r="D7" t="inlineStr">
        <is>
          <t>Operator</t>
        </is>
      </c>
    </row>
    <row r="8">
      <c r="A8" t="inlineStr">
        <is>
          <t>Customers on Annual plan</t>
        </is>
      </c>
      <c r="B8" s="16" t="n">
        <v>0.3</v>
      </c>
      <c r="C8" t="inlineStr"/>
      <c r="D8" t="inlineStr">
        <is>
          <t>Operator</t>
        </is>
      </c>
    </row>
    <row r="9">
      <c r="A9" t="inlineStr">
        <is>
          <t>Annual plan price</t>
        </is>
      </c>
      <c r="B9" s="18" t="n">
        <v>60</v>
      </c>
      <c r="C9" t="inlineStr">
        <is>
          <t>$/year</t>
        </is>
      </c>
      <c r="D9" t="inlineStr">
        <is>
          <t>Operator</t>
        </is>
      </c>
    </row>
    <row r="10">
      <c r="A10" t="inlineStr">
        <is>
          <t>Customers on Monthly plan</t>
        </is>
      </c>
      <c r="B10" s="16" t="n">
        <v>0.1</v>
      </c>
      <c r="C10" t="inlineStr"/>
      <c r="D10" t="inlineStr">
        <is>
          <t>Operator</t>
        </is>
      </c>
    </row>
    <row r="11">
      <c r="A11" t="inlineStr">
        <is>
          <t>Monthly plan price</t>
        </is>
      </c>
      <c r="B11" s="18" t="n">
        <v>10</v>
      </c>
      <c r="C11" t="inlineStr">
        <is>
          <t>$/month</t>
        </is>
      </c>
      <c r="D11" t="inlineStr">
        <is>
          <t>Operator</t>
        </is>
      </c>
    </row>
    <row r="12">
      <c r="A12" t="inlineStr">
        <is>
          <t>Customers on Single Use</t>
        </is>
      </c>
      <c r="B12" s="16" t="n">
        <v>0.6</v>
      </c>
      <c r="C12" t="inlineStr"/>
      <c r="D12" t="inlineStr">
        <is>
          <t>Operator</t>
        </is>
      </c>
    </row>
    <row r="13">
      <c r="A13" t="inlineStr">
        <is>
          <t>Single Use price</t>
        </is>
      </c>
      <c r="B13" s="18" t="n">
        <v>2</v>
      </c>
      <c r="C13" t="inlineStr">
        <is>
          <t>$/visit</t>
        </is>
      </c>
      <c r="D13" t="inlineStr">
        <is>
          <t>Operator</t>
        </is>
      </c>
    </row>
    <row r="14">
      <c r="A14" t="inlineStr">
        <is>
          <t>Average visit duration</t>
        </is>
      </c>
      <c r="B14" s="15" t="n">
        <v>649</v>
      </c>
      <c r="C14" t="inlineStr">
        <is>
          <t>seconds (10 min 49 s)</t>
        </is>
      </c>
      <c r="D14" t="inlineStr">
        <is>
          <t>Operator (Psychology Today, Semrush via Perplexity)</t>
        </is>
      </c>
    </row>
    <row r="15">
      <c r="A15" t="inlineStr">
        <is>
          <t>Days per year</t>
        </is>
      </c>
      <c r="B15" s="15" t="n">
        <v>365</v>
      </c>
      <c r="C15" t="inlineStr">
        <is>
          <t>days</t>
        </is>
      </c>
      <c r="D15" t="inlineStr"/>
    </row>
    <row r="16">
      <c r="A16" t="inlineStr">
        <is>
          <t>Hours per month</t>
        </is>
      </c>
      <c r="B16" s="15" t="n">
        <v>730</v>
      </c>
      <c r="C16" t="inlineStr">
        <is>
          <t>hours</t>
        </is>
      </c>
      <c r="D16" t="inlineStr">
        <is>
          <t>Azure billing convention</t>
        </is>
      </c>
    </row>
    <row r="17">
      <c r="A17" s="2" t="inlineStr">
        <is>
          <t>AI model utilization</t>
        </is>
      </c>
    </row>
    <row r="18">
      <c r="A18" t="inlineStr">
        <is>
          <t>AI usage multiplier over today, per session</t>
        </is>
      </c>
      <c r="B18" s="19" t="n">
        <v>3</v>
      </c>
      <c r="C18" t="inlineStr">
        <is>
          <t>x</t>
        </is>
      </c>
      <c r="D18" t="inlineStr">
        <is>
          <t>Operator</t>
        </is>
      </c>
    </row>
    <row r="19">
      <c r="A19" t="inlineStr">
        <is>
          <t>AI cost multiplier (applied on top of the usage multiplier)</t>
        </is>
      </c>
      <c r="B19" s="19" t="n">
        <v>3</v>
      </c>
      <c r="C19" t="inlineStr">
        <is>
          <t>x</t>
        </is>
      </c>
      <c r="D19" t="inlineStr">
        <is>
          <t>Operator</t>
        </is>
      </c>
    </row>
    <row r="20">
      <c r="A20" s="20" t="inlineStr">
        <is>
          <t>Classifier calls per session today (one per user turn)</t>
        </is>
      </c>
      <c r="B20" s="21" t="n">
        <v>4</v>
      </c>
      <c r="C20" s="20" t="inlineStr">
        <is>
          <t>calls</t>
        </is>
      </c>
      <c r="D20" s="20" t="inlineStr">
        <is>
          <t>ASSUMPTION - not measured; please confirm</t>
        </is>
      </c>
    </row>
    <row r="21">
      <c r="A21" t="inlineStr">
        <is>
          <t>Classifier system prompt size</t>
        </is>
      </c>
      <c r="B21" s="15" t="n">
        <v>51822</v>
      </c>
      <c r="C21" t="inlineStr">
        <is>
          <t>characters</t>
        </is>
      </c>
      <c r="D21" t="inlineStr">
        <is>
          <t>Measured from sharedServices/Code/UtteranceManager/utterance_manager.py</t>
        </is>
      </c>
    </row>
    <row r="22">
      <c r="A22" s="20" t="inlineStr">
        <is>
          <t>Characters per token</t>
        </is>
      </c>
      <c r="B22" s="21" t="n">
        <v>4</v>
      </c>
      <c r="C22" s="20" t="inlineStr">
        <is>
          <t>chars</t>
        </is>
      </c>
      <c r="D22" s="20" t="inlineStr">
        <is>
          <t>ASSUMPTION - not measured; please confirm (common rule of thumb)</t>
        </is>
      </c>
    </row>
    <row r="23">
      <c r="A23" s="20" t="inlineStr">
        <is>
          <t>Classifier per-turn message (dialogue window + state)</t>
        </is>
      </c>
      <c r="B23" s="22" t="n">
        <v>500</v>
      </c>
      <c r="C23" s="20" t="inlineStr">
        <is>
          <t>tokens</t>
        </is>
      </c>
      <c r="D23" s="20" t="inlineStr">
        <is>
          <t>ASSUMPTION - not measured; please confirm</t>
        </is>
      </c>
    </row>
    <row r="24">
      <c r="A24" s="20" t="inlineStr">
        <is>
          <t>Classifier output per call, incl. Gemini thinking tokens</t>
        </is>
      </c>
      <c r="B24" s="22" t="n">
        <v>1500</v>
      </c>
      <c r="C24" s="20" t="inlineStr">
        <is>
          <t>tokens</t>
        </is>
      </c>
      <c r="D24" s="20" t="inlineStr">
        <is>
          <t>ASSUMPTION - not measured; please confirm</t>
        </is>
      </c>
    </row>
    <row r="25">
      <c r="A25" t="inlineStr">
        <is>
          <t>Gemini 2.5 Flash input price</t>
        </is>
      </c>
      <c r="B25" s="18" t="n">
        <v>0.3</v>
      </c>
      <c r="C25" t="inlineStr">
        <is>
          <t>$/1M tokens</t>
        </is>
      </c>
      <c r="D25" t="inlineStr">
        <is>
          <t>ai.google.dev/gemini-api/docs/pricing, paid tier, fetched 2026-09-30</t>
        </is>
      </c>
    </row>
    <row r="26">
      <c r="A26" t="inlineStr">
        <is>
          <t>Gemini 2.5 Flash output price (incl. thinking)</t>
        </is>
      </c>
      <c r="B26" s="18" t="n">
        <v>2.5</v>
      </c>
      <c r="C26" t="inlineStr">
        <is>
          <t>$/1M tokens</t>
        </is>
      </c>
      <c r="D26" t="inlineStr">
        <is>
          <t>ai.google.dev/gemini-api/docs/pricing, paid tier, fetched 2026-09-30</t>
        </is>
      </c>
    </row>
    <row r="27">
      <c r="A27" s="20" t="inlineStr">
        <is>
          <t>Claude Opus 5 calls per session today (manufacture path, 'rare' per code)</t>
        </is>
      </c>
      <c r="B27" s="23" t="n">
        <v>0.1</v>
      </c>
      <c r="C27" s="20" t="inlineStr">
        <is>
          <t>calls</t>
        </is>
      </c>
      <c r="D27" s="20" t="inlineStr">
        <is>
          <t>ASSUMPTION - not measured; please confirm</t>
        </is>
      </c>
    </row>
    <row r="28">
      <c r="A28" s="20" t="inlineStr">
        <is>
          <t>Opus input per call (prompt + dialogue + state + tool contracts)</t>
        </is>
      </c>
      <c r="B28" s="22" t="n">
        <v>4000</v>
      </c>
      <c r="C28" s="20" t="inlineStr">
        <is>
          <t>tokens</t>
        </is>
      </c>
      <c r="D28" s="20" t="inlineStr">
        <is>
          <t>ASSUMPTION - not measured; please confirm (system prompt alone measured at 1,569 chars)</t>
        </is>
      </c>
    </row>
    <row r="29">
      <c r="A29" s="20" t="inlineStr">
        <is>
          <t>Opus output per call</t>
        </is>
      </c>
      <c r="B29" s="22" t="n">
        <v>250</v>
      </c>
      <c r="C29" s="20" t="inlineStr">
        <is>
          <t>tokens</t>
        </is>
      </c>
      <c r="D29" s="20" t="inlineStr">
        <is>
          <t>ASSUMPTION - not measured; please confirm (prompt caps at 150 words)</t>
        </is>
      </c>
    </row>
    <row r="30">
      <c r="A30" t="inlineStr">
        <is>
          <t>Claude Opus 5 input price</t>
        </is>
      </c>
      <c r="B30" s="18" t="n">
        <v>5</v>
      </c>
      <c r="C30" t="inlineStr">
        <is>
          <t>$/1M tokens</t>
        </is>
      </c>
      <c r="D30" t="inlineStr">
        <is>
          <t>docs.claude.com/en/docs/about-claude/pricing, fetched 2026-09-30</t>
        </is>
      </c>
    </row>
    <row r="31">
      <c r="A31" t="inlineStr">
        <is>
          <t>Claude Opus 5 output price</t>
        </is>
      </c>
      <c r="B31" s="18" t="n">
        <v>25</v>
      </c>
      <c r="C31" t="inlineStr">
        <is>
          <t>$/1M tokens</t>
        </is>
      </c>
      <c r="D31" t="inlineStr">
        <is>
          <t>docs.claude.com/en/docs/about-claude/pricing, fetched 2026-09-30</t>
        </is>
      </c>
    </row>
    <row r="32">
      <c r="A32" s="2" t="inlineStr">
        <is>
          <t>Hosting on Azure VMs</t>
        </is>
      </c>
    </row>
    <row r="33">
      <c r="A33" s="20" t="inlineStr">
        <is>
          <t>Peak-to-average concurrency</t>
        </is>
      </c>
      <c r="B33" s="21" t="n">
        <v>3</v>
      </c>
      <c r="C33" s="20" t="inlineStr">
        <is>
          <t>x</t>
        </is>
      </c>
      <c r="D33" s="20" t="inlineStr">
        <is>
          <t>ASSUMPTION - not measured; please confirm</t>
        </is>
      </c>
    </row>
    <row r="34">
      <c r="A34" s="20" t="inlineStr">
        <is>
          <t>Concurrent sessions one app VM carries</t>
        </is>
      </c>
      <c r="B34" s="22" t="n">
        <v>250</v>
      </c>
      <c r="C34" s="20" t="inlineStr">
        <is>
          <t>sessions</t>
        </is>
      </c>
      <c r="D34" s="20" t="inlineStr">
        <is>
          <t>ASSUMPTION - not measured; please confirm</t>
        </is>
      </c>
    </row>
    <row r="35">
      <c r="A35" t="inlineStr">
        <is>
          <t>App VM: Standard_D4s_v5 (4 vCPU, 16 GB)</t>
        </is>
      </c>
      <c r="B35" s="24" t="n">
        <v>0.192</v>
      </c>
      <c r="C35" t="inlineStr">
        <is>
          <t>$/hour</t>
        </is>
      </c>
      <c r="D35" t="inlineStr">
        <is>
          <t>Azure Retail Prices API (prices.azure.com), East US, Linux pay-as-you-go, fetched 2026-09-30</t>
        </is>
      </c>
    </row>
    <row r="36">
      <c r="A36" s="20" t="inlineStr">
        <is>
          <t>Database VMs (MongoDB replica sets, self-hosted)</t>
        </is>
      </c>
      <c r="B36" s="22" t="n">
        <v>6</v>
      </c>
      <c r="C36" s="20" t="inlineStr">
        <is>
          <t>VMs</t>
        </is>
      </c>
      <c r="D36" s="20" t="inlineStr">
        <is>
          <t>ASSUMPTION - not measured; please confirm (2 shards x 3-node replica set)</t>
        </is>
      </c>
    </row>
    <row r="37">
      <c r="A37" t="inlineStr">
        <is>
          <t>DB VM: Standard_D8s_v5 (8 vCPU, 32 GB)</t>
        </is>
      </c>
      <c r="B37" s="24" t="n">
        <v>0.384</v>
      </c>
      <c r="C37" t="inlineStr">
        <is>
          <t>$/hour</t>
        </is>
      </c>
      <c r="D37" t="inlineStr">
        <is>
          <t>Azure Retail Prices API (prices.azure.com), East US, Linux pay-as-you-go, fetched 2026-09-30</t>
        </is>
      </c>
    </row>
    <row r="38">
      <c r="A38" t="inlineStr">
        <is>
          <t>OS disk per VM: Premium SSD P10 (128 GB)</t>
        </is>
      </c>
      <c r="B38" s="18" t="n">
        <v>19.71</v>
      </c>
      <c r="C38" t="inlineStr">
        <is>
          <t>$/month</t>
        </is>
      </c>
      <c r="D38" t="inlineStr">
        <is>
          <t>Azure Retail Prices API (prices.azure.com), East US, Linux pay-as-you-go, fetched 2026-09-30</t>
        </is>
      </c>
    </row>
    <row r="39">
      <c r="A39" s="20" t="inlineStr">
        <is>
          <t>Data retained per session (session doc + logs)</t>
        </is>
      </c>
      <c r="B39" s="22" t="n">
        <v>70</v>
      </c>
      <c r="C39" s="20" t="inlineStr">
        <is>
          <t>KB</t>
        </is>
      </c>
      <c r="D39" s="20" t="inlineStr">
        <is>
          <t>ASSUMPTION - not measured; please confirm</t>
        </is>
      </c>
    </row>
    <row r="40">
      <c r="A40" s="20" t="inlineStr">
        <is>
          <t>Retention</t>
        </is>
      </c>
      <c r="B40" s="22" t="n">
        <v>12</v>
      </c>
      <c r="C40" s="20" t="inlineStr">
        <is>
          <t>months</t>
        </is>
      </c>
      <c r="D40" s="20" t="inlineStr">
        <is>
          <t>ASSUMPTION - not measured; please confirm</t>
        </is>
      </c>
    </row>
    <row r="41">
      <c r="A41" s="20" t="inlineStr">
        <is>
          <t>Database copies (replica set)</t>
        </is>
      </c>
      <c r="B41" s="22" t="n">
        <v>3</v>
      </c>
      <c r="C41" s="20" t="inlineStr">
        <is>
          <t>copies</t>
        </is>
      </c>
      <c r="D41" s="20" t="inlineStr">
        <is>
          <t>ASSUMPTION - not measured; please confirm</t>
        </is>
      </c>
    </row>
    <row r="42">
      <c r="A42" t="inlineStr">
        <is>
          <t>Data disk: Premium SSD P30 (1 TiB)</t>
        </is>
      </c>
      <c r="B42" s="18" t="n">
        <v>135.17</v>
      </c>
      <c r="C42" t="inlineStr">
        <is>
          <t>$/month per TiB</t>
        </is>
      </c>
      <c r="D42" t="inlineStr">
        <is>
          <t>Azure Retail Prices API (prices.azure.com), East US, Linux pay-as-you-go, fetched 2026-09-30</t>
        </is>
      </c>
    </row>
    <row r="43">
      <c r="A43" s="20" t="inlineStr">
        <is>
          <t>Data served per visit</t>
        </is>
      </c>
      <c r="B43" s="25" t="n">
        <v>3</v>
      </c>
      <c r="C43" s="20" t="inlineStr">
        <is>
          <t>MB</t>
        </is>
      </c>
      <c r="D43" s="20" t="inlineStr">
        <is>
          <t>ASSUMPTION - not measured; please confirm</t>
        </is>
      </c>
    </row>
    <row r="44">
      <c r="A44" t="inlineStr">
        <is>
          <t>Internet egress, blended</t>
        </is>
      </c>
      <c r="B44" s="24" t="n">
        <v>0.065</v>
      </c>
      <c r="C44" t="inlineStr">
        <is>
          <t>$/GB</t>
        </is>
      </c>
      <c r="D44" t="inlineStr">
        <is>
          <t>Azure Retail Prices API (prices.azure.com), East US, Linux pay-as-you-go, fetched 2026-09-30 (tiers $0.08 to $0.04; blended is an assumption)</t>
        </is>
      </c>
    </row>
    <row r="45">
      <c r="A45" s="2" t="inlineStr">
        <is>
          <t>Other operating costs</t>
        </is>
      </c>
    </row>
    <row r="46">
      <c r="A46" t="inlineStr">
        <is>
          <t>Data pipelines (6 pipelines, total)</t>
        </is>
      </c>
      <c r="B46" s="18" t="n">
        <v>50</v>
      </c>
      <c r="C46" t="inlineStr">
        <is>
          <t>$/month</t>
        </is>
      </c>
      <c r="D46" t="inlineStr">
        <is>
          <t>Operator</t>
        </is>
      </c>
    </row>
    <row r="47">
      <c r="A47" t="inlineStr">
        <is>
          <t>Labor in 2028</t>
        </is>
      </c>
      <c r="B47" s="26" t="n">
        <v>80000</v>
      </c>
      <c r="C47" t="inlineStr">
        <is>
          <t>$/month</t>
        </is>
      </c>
      <c r="D47" t="inlineStr">
        <is>
          <t>Operator</t>
        </is>
      </c>
    </row>
    <row r="48">
      <c r="A48" t="inlineStr">
        <is>
          <t>Labor growth per year, compounded from 2028</t>
        </is>
      </c>
      <c r="B48" s="16" t="n">
        <v>0.15</v>
      </c>
      <c r="C48" t="inlineStr"/>
      <c r="D48" t="inlineStr">
        <is>
          <t>Operator</t>
        </is>
      </c>
    </row>
    <row r="50">
      <c r="A50" t="inlineStr">
        <is>
          <t>Blue values are inputs. Yellow rows are assumptions I made because the figure is not measured anywhere; change them and the Model sheet recalculates.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</cols>
  <sheetData>
    <row r="1">
      <c r="A1" s="2" t="inlineStr">
        <is>
          <t>Sunk Costs: realized and deferred, as of 9/30/2026</t>
        </is>
      </c>
    </row>
    <row r="2">
      <c r="A2" s="1" t="inlineStr">
        <is>
          <t>Vendor</t>
        </is>
      </c>
      <c r="B2" s="1" t="inlineStr">
        <is>
          <t>Accrued Cost per Vendor</t>
        </is>
      </c>
      <c r="C2" s="1" t="inlineStr">
        <is>
          <t>Bucket</t>
        </is>
      </c>
    </row>
    <row r="3">
      <c r="A3" t="inlineStr">
        <is>
          <t>Anthropic</t>
        </is>
      </c>
      <c r="B3" s="27" t="n">
        <v>1333.02</v>
      </c>
      <c r="C3" s="28" t="inlineStr">
        <is>
          <t>AI</t>
        </is>
      </c>
    </row>
    <row r="4">
      <c r="A4" t="inlineStr">
        <is>
          <t>Best Buy</t>
        </is>
      </c>
      <c r="B4" s="27" t="n">
        <v>99.97</v>
      </c>
      <c r="C4" s="28" t="inlineStr">
        <is>
          <t>Labor</t>
        </is>
      </c>
    </row>
    <row r="5">
      <c r="A5" t="inlineStr">
        <is>
          <t>CloudFlair</t>
        </is>
      </c>
      <c r="B5" s="27" t="n">
        <v>380</v>
      </c>
      <c r="C5" s="28" t="inlineStr">
        <is>
          <t>Hosting</t>
        </is>
      </c>
    </row>
    <row r="6">
      <c r="A6" t="inlineStr">
        <is>
          <t>Deep Seek</t>
        </is>
      </c>
      <c r="B6" s="27" t="n">
        <v>10</v>
      </c>
      <c r="C6" s="28" t="inlineStr">
        <is>
          <t>AI</t>
        </is>
      </c>
    </row>
    <row r="7">
      <c r="A7" t="inlineStr">
        <is>
          <t>Git Hub</t>
        </is>
      </c>
      <c r="B7" s="27" t="n">
        <v>70</v>
      </c>
      <c r="C7" s="28" t="inlineStr">
        <is>
          <t>Hosting</t>
        </is>
      </c>
    </row>
    <row r="8">
      <c r="A8" t="inlineStr">
        <is>
          <t>Hugging Face</t>
        </is>
      </c>
      <c r="B8" s="27" t="n">
        <v>183.61</v>
      </c>
      <c r="C8" s="28" t="inlineStr">
        <is>
          <t>Hosting</t>
        </is>
      </c>
    </row>
    <row r="9">
      <c r="A9" t="inlineStr">
        <is>
          <t>Mcafee subsription</t>
        </is>
      </c>
      <c r="B9" s="27" t="n">
        <v>119.99</v>
      </c>
      <c r="C9" s="28" t="inlineStr">
        <is>
          <t>Labor</t>
        </is>
      </c>
    </row>
    <row r="10">
      <c r="A10" t="inlineStr">
        <is>
          <t>Mircosoft</t>
        </is>
      </c>
      <c r="B10" s="27" t="n">
        <v>1457.8</v>
      </c>
      <c r="C10" s="28" t="inlineStr">
        <is>
          <t>Hosting</t>
        </is>
      </c>
    </row>
    <row r="11">
      <c r="A11" t="inlineStr">
        <is>
          <t>Mongo</t>
        </is>
      </c>
      <c r="B11" s="27" t="n">
        <v>4879.61</v>
      </c>
      <c r="C11" s="28" t="inlineStr">
        <is>
          <t>Hosting</t>
        </is>
      </c>
    </row>
    <row r="12">
      <c r="A12" t="inlineStr">
        <is>
          <t>Office Depot</t>
        </is>
      </c>
      <c r="B12" s="27" t="n">
        <v>17.52</v>
      </c>
      <c r="C12" s="28" t="inlineStr">
        <is>
          <t>Labor</t>
        </is>
      </c>
    </row>
    <row r="13">
      <c r="A13" t="inlineStr">
        <is>
          <t>Open AI</t>
        </is>
      </c>
      <c r="B13" s="27" t="n">
        <v>1126</v>
      </c>
      <c r="C13" s="28" t="inlineStr">
        <is>
          <t>AI</t>
        </is>
      </c>
    </row>
    <row r="14">
      <c r="A14" t="inlineStr">
        <is>
          <t>Perplexity</t>
        </is>
      </c>
      <c r="B14" s="27" t="n">
        <v>50</v>
      </c>
      <c r="C14" s="28" t="inlineStr">
        <is>
          <t>AI</t>
        </is>
      </c>
    </row>
    <row r="15">
      <c r="A15" t="inlineStr">
        <is>
          <t>Spectrum</t>
        </is>
      </c>
      <c r="B15" s="27" t="n">
        <v>100</v>
      </c>
      <c r="C15" s="28" t="inlineStr">
        <is>
          <t>Hosting</t>
        </is>
      </c>
    </row>
    <row r="16">
      <c r="A16" t="inlineStr">
        <is>
          <t>Twillio</t>
        </is>
      </c>
      <c r="B16" s="27" t="n">
        <v>20</v>
      </c>
      <c r="C16" s="28" t="inlineStr">
        <is>
          <t>Hosting</t>
        </is>
      </c>
    </row>
    <row r="17">
      <c r="A17" s="2" t="inlineStr">
        <is>
          <t>Sunk Cost</t>
        </is>
      </c>
      <c r="B17" s="29">
        <f>SUM(B3:B16)</f>
        <v/>
      </c>
    </row>
    <row r="18">
      <c r="A18" t="inlineStr">
        <is>
          <t>Defered sallary</t>
        </is>
      </c>
      <c r="B18" s="27" t="n">
        <v>147000</v>
      </c>
      <c r="C18" s="28" t="inlineStr">
        <is>
          <t>Labor</t>
        </is>
      </c>
    </row>
    <row r="19">
      <c r="A19" s="2" t="inlineStr">
        <is>
          <t>Total cost to date</t>
        </is>
      </c>
      <c r="B19" s="29">
        <f>B17+B18</f>
        <v/>
      </c>
    </row>
    <row r="21">
      <c r="A21" t="inlineStr">
        <is>
          <t>Source: Operator, Sunk Costs slide as of 9/30/2026. Vendor names as given. Bucket assignments are mine (change any of them and the Model recalculates).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2026-09-30T23:19:53Z</dcterms:created>
  <dcterms:modified xmlns:dcterms="http://purl.org/dc/terms/" xmlns:xsi="http://www.w3.org/2001/XMLSchema-instance" xsi:type="dcterms:W3CDTF">2026-09-30T23:19:53Z</dcterms:modified>
</cp:coreProperties>
</file>